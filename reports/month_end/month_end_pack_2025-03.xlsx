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Month_End" sheetId="3" state="visible" r:id="rId5"/>
    <sheet name="Checks" sheetId="4" state="visible" r:id="rId6"/>
    <sheet name="Comment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<sst xmlns="http://schemas.openxmlformats.org/spreadsheetml/2006/main" count="130" uniqueCount="114">
  <si>
    <t xml:space="preserve">Month-end marketing pack</t>
  </si>
  <si>
    <t xml:space="preserve">SYNTHETIC Finance inputs: budgets and invoices are invented for demonstration. Delivered spend comes from the ad platform extracts.</t>
  </si>
  <si>
    <t xml:space="preserve">Month</t>
  </si>
  <si>
    <t xml:space="preserve">2025-03</t>
  </si>
  <si>
    <t xml:space="preserve">As of (warehouse cursor)</t>
  </si>
  <si>
    <t xml:space="preserve">2025-07-01</t>
  </si>
  <si>
    <t xml:space="preserve">Data through (last day of delivered spend)</t>
  </si>
  <si>
    <t xml:space="preserve">2025-06-30</t>
  </si>
  <si>
    <t xml:space="preserve">Built by</t>
  </si>
  <si>
    <t xml:space="preserve">scripts/build_month_end_pack.py from data/marts/*.parquet</t>
  </si>
  <si>
    <t xml:space="preserve">Sheets</t>
  </si>
  <si>
    <t xml:space="preserve">Inputs</t>
  </si>
  <si>
    <t xml:space="preserve">Mart rows for the month, pasted as values. The only pasted numbers.</t>
  </si>
  <si>
    <t xml:space="preserve">Month_End</t>
  </si>
  <si>
    <t xml:space="preserve">All logic as formulas over Inputs, driven by the tolerance cell (B3).</t>
  </si>
  <si>
    <t xml:space="preserve">Checks</t>
  </si>
  <si>
    <t xml:space="preserve">TRUE/FALSE ties of the workbook against the marts. All must be TRUE.</t>
  </si>
  <si>
    <t xml:space="preserve">Commentary</t>
  </si>
  <si>
    <t xml:space="preserve">Plain-English summary, assembled by formulas.</t>
  </si>
  <si>
    <t xml:space="preserve">Definitions</t>
  </si>
  <si>
    <t xml:space="preserve">Delivered spend</t>
  </si>
  <si>
    <t xml:space="preserve">Ad platform spend for the month, days visible at the cursor. Blank where the channel has no cost source (TikTok).</t>
  </si>
  <si>
    <t xml:space="preserve">Media invoiced</t>
  </si>
  <si>
    <t xml:space="preserve">Platform media invoice lines for the month, received by the cursor.</t>
  </si>
  <si>
    <t xml:space="preserve">Fee invoiced</t>
  </si>
  <si>
    <t xml:space="preserve">Agency fee lines allocated to the channel (60/40 Meta/Google retainer). Not budgeted and not compared with delivered spend.</t>
  </si>
  <si>
    <t xml:space="preserve">Final invoice received</t>
  </si>
  <si>
    <t xml:space="preserve">A platform media invoice covering the whole month has arrived. It then replaces the estimate: accrual 0, recognised media = media invoiced (the true-up).</t>
  </si>
  <si>
    <t xml:space="preserve">Estimated unbilled accrual</t>
  </si>
  <si>
    <t xml:space="preserve">Before the final invoice: MAX(delivered - media invoiced, 0), delivered media not yet invoiced. After it: 0.</t>
  </si>
  <si>
    <t xml:space="preserve">Recognised media expense</t>
  </si>
  <si>
    <t xml:space="preserve">After the final invoice: media invoiced. Before it: MAX(delivered, media invoiced). Blank delivered: media invoiced if any.</t>
  </si>
  <si>
    <t xml:space="preserve">Recognised expense (incl. fees)</t>
  </si>
  <si>
    <t xml:space="preserve">Recognised media expense + fee invoiced.</t>
  </si>
  <si>
    <t xml:space="preserve">Approved media budget</t>
  </si>
  <si>
    <t xml:space="preserve">Latest budget version visible at the cursor. Budgets cover media only.</t>
  </si>
  <si>
    <t xml:space="preserve">Budget variance</t>
  </si>
  <si>
    <t xml:space="preserve">Recognised media expense - approved media budget. POSITIVE = OVERSPEND.</t>
  </si>
  <si>
    <t xml:space="preserve">Remaining budget</t>
  </si>
  <si>
    <t xml:space="preserve">Approved media budget - recognised media expense.</t>
  </si>
  <si>
    <t xml:space="preserve">Recon difference</t>
  </si>
  <si>
    <t xml:space="preserve">Media invoiced - delivered spend (positive: billed more than delivered).</t>
  </si>
  <si>
    <t xml:space="preserve">Recon status</t>
  </si>
  <si>
    <t xml:space="preserve">unallocated_cost, no_cost_source, unbilled (no media invoice yet), within_tolerance (|difference| &lt;= tolerance), exception.</t>
  </si>
  <si>
    <t xml:space="preserve">Data status</t>
  </si>
  <si>
    <t xml:space="preserve">complete, partial_month, source_gap (days missing from the extract), no_cost_source, unallocated.</t>
  </si>
  <si>
    <t xml:space="preserve">Limitations</t>
  </si>
  <si>
    <t xml:space="preserve">Synthetic Finance inputs. Channel grain only. No GL, journal entries or true-ups. Fees are recognised on receipt, never accrued.</t>
  </si>
  <si>
    <t xml:space="preserve">channel</t>
  </si>
  <si>
    <t xml:space="preserve">approved_budget</t>
  </si>
  <si>
    <t xml:space="preserve">budget_version_used</t>
  </si>
  <si>
    <t xml:space="preserve">delivered_spend</t>
  </si>
  <si>
    <t xml:space="preserve">media_invoiced</t>
  </si>
  <si>
    <t xml:space="preserve">fee_invoiced</t>
  </si>
  <si>
    <t xml:space="preserve">estimated_unbilled_accrual</t>
  </si>
  <si>
    <t xml:space="preserve">recognised_media_expense</t>
  </si>
  <si>
    <t xml:space="preserve">recognised_expense</t>
  </si>
  <si>
    <t xml:space="preserve">budget_variance</t>
  </si>
  <si>
    <t xml:space="preserve">recon_difference</t>
  </si>
  <si>
    <t xml:space="preserve">recon_status</t>
  </si>
  <si>
    <t xml:space="preserve">data_status</t>
  </si>
  <si>
    <t xml:space="preserve">is_media_final</t>
  </si>
  <si>
    <t xml:space="preserve">meta</t>
  </si>
  <si>
    <t xml:space="preserve">original</t>
  </si>
  <si>
    <t xml:space="preserve">exception</t>
  </si>
  <si>
    <t xml:space="preserve">source_gap</t>
  </si>
  <si>
    <t xml:space="preserve">google</t>
  </si>
  <si>
    <t xml:space="preserve">within_tolerance</t>
  </si>
  <si>
    <t xml:space="preserve">complete</t>
  </si>
  <si>
    <t xml:space="preserve">tiktok</t>
  </si>
  <si>
    <t xml:space="preserve">no_cost_source</t>
  </si>
  <si>
    <t xml:space="preserve">Pasted as values from the dbt marts for 2025-03 (as of 2025-07-01). Blank = no data (NULL in the mart), never zero.</t>
  </si>
  <si>
    <t xml:space="preserve">Month-end marketing pack: 2025-03</t>
  </si>
  <si>
    <t xml:space="preserve">Recon tolerance (%)</t>
  </si>
  <si>
    <t xml:space="preserve">Input. Matches the dbt var recon_tolerance_pct. Change it to re-run the recon.</t>
  </si>
  <si>
    <t xml:space="preserve">As of (cursor)</t>
  </si>
  <si>
    <t xml:space="preserve">Channel</t>
  </si>
  <si>
    <t xml:space="preserve">Budget variance (+ = overspend)</t>
  </si>
  <si>
    <t xml:space="preserve">Budget variance %</t>
  </si>
  <si>
    <t xml:space="preserve">Recon difference (invoiced - delivered)</t>
  </si>
  <si>
    <t xml:space="preserve">Recon difference %</t>
  </si>
  <si>
    <t xml:space="preserve">|Variance| (helper)</t>
  </si>
  <si>
    <t xml:space="preserve">Budget with known spend (helper)</t>
  </si>
  <si>
    <t xml:space="preserve">Final invoice received (TRUE = true-up applied)</t>
  </si>
  <si>
    <t xml:space="preserve">Total</t>
  </si>
  <si>
    <t xml:space="preserve">Blank = no data, never zero. TikTok has no cost source, so its spend and variance are blank. Total variance % = total variance / budget of channels with known spend (a ratio of sums).</t>
  </si>
  <si>
    <t xml:space="preserve">Check</t>
  </si>
  <si>
    <t xml:space="preserve">Result</t>
  </si>
  <si>
    <t xml:space="preserve">Approved budget: Month_End total equals the pasted mart total</t>
  </si>
  <si>
    <t xml:space="preserve">Delivered spend: Month_End total equals the pasted mart total</t>
  </si>
  <si>
    <t xml:space="preserve">Media invoiced: Month_End total equals the pasted mart total</t>
  </si>
  <si>
    <t xml:space="preserve">Fee invoiced: Month_End total equals the pasted mart total</t>
  </si>
  <si>
    <t xml:space="preserve">meta: formula accrual equals the mart accrual</t>
  </si>
  <si>
    <t xml:space="preserve">meta: formula recognised media expense equals the mart</t>
  </si>
  <si>
    <t xml:space="preserve">meta: formula recognised expense equals the mart</t>
  </si>
  <si>
    <t xml:space="preserve">meta: formula budget variance equals the mart</t>
  </si>
  <si>
    <t xml:space="preserve">meta: formula recon difference equals the mart</t>
  </si>
  <si>
    <t xml:space="preserve">meta: formula recon status equals the mart</t>
  </si>
  <si>
    <t xml:space="preserve">google: formula accrual equals the mart accrual</t>
  </si>
  <si>
    <t xml:space="preserve">google: formula recognised media expense equals the mart</t>
  </si>
  <si>
    <t xml:space="preserve">google: formula recognised expense equals the mart</t>
  </si>
  <si>
    <t xml:space="preserve">google: formula budget variance equals the mart</t>
  </si>
  <si>
    <t xml:space="preserve">google: formula recon difference equals the mart</t>
  </si>
  <si>
    <t xml:space="preserve">google: formula recon status equals the mart</t>
  </si>
  <si>
    <t xml:space="preserve">tiktok: formula accrual equals the mart accrual</t>
  </si>
  <si>
    <t xml:space="preserve">tiktok: formula recognised media expense equals the mart</t>
  </si>
  <si>
    <t xml:space="preserve">tiktok: formula recognised expense equals the mart</t>
  </si>
  <si>
    <t xml:space="preserve">tiktok: formula budget variance equals the mart</t>
  </si>
  <si>
    <t xml:space="preserve">tiktok: formula recon difference equals the mart</t>
  </si>
  <si>
    <t xml:space="preserve">tiktok: formula recon status equals the mart</t>
  </si>
  <si>
    <t xml:space="preserve">ALL CHECKS PASS</t>
  </si>
  <si>
    <t xml:space="preserve">Recalculates on open. The recon status checks assume the tolerance is left at the dbt default.</t>
  </si>
  <si>
    <t xml:space="preserve">Commentary: 2025-03</t>
  </si>
  <si>
    <t xml:space="preserve">Each sentence is a formula over Month_End, so it updates if Inputs or the tolerance change.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</si>
</sst>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;&quot;(£&quot;#,##0.00\);\-"/>
    <numFmt numFmtId="166" formatCode="General"/>
    <numFmt numFmtId="167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4" t="s">
        <v>10</v>
      </c>
      <c r="B9" s="2"/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4" t="s">
        <v>19</v>
      </c>
      <c r="B15" s="2"/>
    </row>
    <row r="16" customFormat="false" ht="15" hidden="false" customHeight="false" outlineLevel="0" collapsed="false">
      <c r="A16" s="4" t="s">
        <v>20</v>
      </c>
      <c r="B16" s="5" t="s">
        <v>21</v>
      </c>
    </row>
    <row r="17" customFormat="false" ht="15" hidden="false" customHeight="false" outlineLevel="0" collapsed="false">
      <c r="A17" s="4" t="s">
        <v>22</v>
      </c>
      <c r="B17" s="5" t="s">
        <v>23</v>
      </c>
    </row>
    <row r="18" customFormat="false" ht="15" hidden="false" customHeight="false" outlineLevel="0" collapsed="false">
      <c r="A18" s="4" t="s">
        <v>24</v>
      </c>
      <c r="B18" s="5" t="s">
        <v>25</v>
      </c>
    </row>
    <row r="19" customFormat="false" ht="15" hidden="false" customHeight="false" outlineLevel="0" collapsed="false">
      <c r="A19" s="4" t="s">
        <v>26</v>
      </c>
      <c r="B19" s="5" t="s">
        <v>27</v>
      </c>
    </row>
    <row r="20" customFormat="false" ht="15" hidden="false" customHeight="false" outlineLevel="0" collapsed="false">
      <c r="A20" s="4" t="s">
        <v>28</v>
      </c>
      <c r="B20" s="5" t="s">
        <v>29</v>
      </c>
    </row>
    <row r="21" customFormat="false" ht="15" hidden="false" customHeight="false" outlineLevel="0" collapsed="false">
      <c r="A21" s="4" t="s">
        <v>30</v>
      </c>
      <c r="B21" s="5" t="s">
        <v>31</v>
      </c>
    </row>
    <row r="22" customFormat="false" ht="15" hidden="false" customHeight="false" outlineLevel="0" collapsed="false">
      <c r="A22" s="4" t="s">
        <v>32</v>
      </c>
      <c r="B22" s="5" t="s">
        <v>33</v>
      </c>
    </row>
    <row r="23" customFormat="false" ht="15" hidden="false" customHeight="false" outlineLevel="0" collapsed="false">
      <c r="A23" s="4" t="s">
        <v>34</v>
      </c>
      <c r="B23" s="5" t="s">
        <v>35</v>
      </c>
    </row>
    <row r="24" customFormat="false" ht="15" hidden="false" customHeight="false" outlineLevel="0" collapsed="false">
      <c r="A24" s="4" t="s">
        <v>36</v>
      </c>
      <c r="B24" s="5" t="s">
        <v>37</v>
      </c>
    </row>
    <row r="25" customFormat="false" ht="15" hidden="false" customHeight="false" outlineLevel="0" collapsed="false">
      <c r="A25" s="4" t="s">
        <v>38</v>
      </c>
      <c r="B25" s="5" t="s">
        <v>39</v>
      </c>
    </row>
    <row r="26" customFormat="false" ht="15" hidden="false" customHeight="false" outlineLevel="0" collapsed="false">
      <c r="A26" s="4" t="s">
        <v>40</v>
      </c>
      <c r="B26" s="5" t="s">
        <v>41</v>
      </c>
    </row>
    <row r="27" customFormat="false" ht="15" hidden="false" customHeight="false" outlineLevel="0" collapsed="false">
      <c r="A27" s="4" t="s">
        <v>42</v>
      </c>
      <c r="B27" s="5" t="s">
        <v>43</v>
      </c>
    </row>
    <row r="28" customFormat="false" ht="15" hidden="false" customHeight="false" outlineLevel="0" collapsed="false">
      <c r="A28" s="4" t="s">
        <v>44</v>
      </c>
      <c r="B28" s="5" t="s">
        <v>45</v>
      </c>
    </row>
    <row r="29" customFormat="false" ht="15" hidden="false" customHeight="false" outlineLevel="0" collapsed="false">
      <c r="A29" s="2"/>
      <c r="B29" s="2"/>
    </row>
    <row r="30" customFormat="false" ht="15" hidden="false" customHeight="false" outlineLevel="0" collapsed="false">
      <c r="A30" s="4" t="s">
        <v>46</v>
      </c>
      <c r="B30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6"/>
  </cols>
  <sheetData>
    <row r="1" customFormat="false" ht="15" hidden="false" customHeight="false" outlineLevel="0" collapsed="false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61</v>
      </c>
    </row>
    <row r="2" customFormat="false" ht="15" hidden="false" customHeight="false" outlineLevel="0" collapsed="false">
      <c r="A2" s="7" t="s">
        <v>62</v>
      </c>
      <c r="B2" s="8" t="n">
        <v>11250</v>
      </c>
      <c r="C2" s="7" t="s">
        <v>63</v>
      </c>
      <c r="D2" s="8" t="n">
        <v>10804.33</v>
      </c>
      <c r="E2" s="8" t="n">
        <v>11547.01</v>
      </c>
      <c r="F2" s="8" t="n">
        <v>1700</v>
      </c>
      <c r="G2" s="8" t="n">
        <v>0</v>
      </c>
      <c r="H2" s="8" t="n">
        <v>11547.01</v>
      </c>
      <c r="I2" s="8" t="n">
        <v>13247.01</v>
      </c>
      <c r="J2" s="8" t="n">
        <v>297.01</v>
      </c>
      <c r="K2" s="8" t="n">
        <v>742.68</v>
      </c>
      <c r="L2" s="7" t="s">
        <v>64</v>
      </c>
      <c r="M2" s="7" t="s">
        <v>65</v>
      </c>
      <c r="N2" s="9" t="b">
        <f aca="false">TRUE()</f>
        <v>1</v>
      </c>
    </row>
    <row r="3" customFormat="false" ht="15" hidden="false" customHeight="false" outlineLevel="0" collapsed="false">
      <c r="A3" s="7" t="s">
        <v>66</v>
      </c>
      <c r="B3" s="8" t="n">
        <v>8500</v>
      </c>
      <c r="C3" s="7" t="s">
        <v>63</v>
      </c>
      <c r="D3" s="8" t="n">
        <v>8608.79</v>
      </c>
      <c r="E3" s="8" t="n">
        <v>8637.19</v>
      </c>
      <c r="F3" s="8" t="n">
        <v>1133.33</v>
      </c>
      <c r="G3" s="8" t="n">
        <v>0</v>
      </c>
      <c r="H3" s="8" t="n">
        <v>8637.19</v>
      </c>
      <c r="I3" s="8" t="n">
        <v>9770.52</v>
      </c>
      <c r="J3" s="8" t="n">
        <v>137.19</v>
      </c>
      <c r="K3" s="8" t="n">
        <v>28.4</v>
      </c>
      <c r="L3" s="7" t="s">
        <v>67</v>
      </c>
      <c r="M3" s="7" t="s">
        <v>68</v>
      </c>
      <c r="N3" s="9" t="b">
        <f aca="false">TRUE()</f>
        <v>1</v>
      </c>
    </row>
    <row r="4" customFormat="false" ht="15" hidden="false" customHeight="false" outlineLevel="0" collapsed="false">
      <c r="A4" s="7" t="s">
        <v>69</v>
      </c>
      <c r="B4" s="8" t="n">
        <v>1500</v>
      </c>
      <c r="C4" s="7" t="s">
        <v>63</v>
      </c>
      <c r="D4" s="8"/>
      <c r="E4" s="8" t="n">
        <v>0</v>
      </c>
      <c r="F4" s="8" t="n">
        <v>0</v>
      </c>
      <c r="G4" s="8"/>
      <c r="H4" s="8"/>
      <c r="I4" s="8"/>
      <c r="J4" s="8"/>
      <c r="K4" s="8"/>
      <c r="L4" s="7" t="s">
        <v>70</v>
      </c>
      <c r="M4" s="7" t="s">
        <v>70</v>
      </c>
      <c r="N4" s="9" t="b">
        <f aca="false">FALSE()</f>
        <v>0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10" t="s">
        <v>71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3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8" min="2" style="0" width="17"/>
  </cols>
  <sheetData>
    <row r="1" customFormat="false" ht="17.35" hidden="false" customHeight="false" outlineLevel="0" collapsed="false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4" t="s">
        <v>73</v>
      </c>
      <c r="B3" s="11" t="n">
        <v>1</v>
      </c>
      <c r="C3" s="10" t="s">
        <v>74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4" t="s">
        <v>2</v>
      </c>
      <c r="B4" s="12" t="str">
        <f aca="false">'Read me'!B4</f>
        <v>2025-03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" hidden="false" customHeight="false" outlineLevel="0" collapsed="false">
      <c r="A5" s="4" t="s">
        <v>75</v>
      </c>
      <c r="B5" s="12" t="str">
        <f aca="false">'Read me'!B5</f>
        <v>2025-07-01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customFormat="false" ht="45" hidden="false" customHeight="true" outlineLevel="0" collapsed="false">
      <c r="A7" s="13" t="s">
        <v>76</v>
      </c>
      <c r="B7" s="13" t="s">
        <v>34</v>
      </c>
      <c r="C7" s="13" t="s">
        <v>20</v>
      </c>
      <c r="D7" s="13" t="s">
        <v>22</v>
      </c>
      <c r="E7" s="13" t="s">
        <v>24</v>
      </c>
      <c r="F7" s="13" t="s">
        <v>28</v>
      </c>
      <c r="G7" s="13" t="s">
        <v>30</v>
      </c>
      <c r="H7" s="13" t="s">
        <v>32</v>
      </c>
      <c r="I7" s="13" t="s">
        <v>77</v>
      </c>
      <c r="J7" s="13" t="s">
        <v>78</v>
      </c>
      <c r="K7" s="13" t="s">
        <v>38</v>
      </c>
      <c r="L7" s="13" t="s">
        <v>79</v>
      </c>
      <c r="M7" s="13" t="s">
        <v>80</v>
      </c>
      <c r="N7" s="13" t="s">
        <v>42</v>
      </c>
      <c r="O7" s="13" t="s">
        <v>44</v>
      </c>
      <c r="P7" s="13" t="s">
        <v>81</v>
      </c>
      <c r="Q7" s="13" t="s">
        <v>82</v>
      </c>
      <c r="R7" s="13" t="s">
        <v>83</v>
      </c>
    </row>
    <row r="8" customFormat="false" ht="15" hidden="false" customHeight="false" outlineLevel="0" collapsed="false">
      <c r="A8" s="12" t="str">
        <f aca="false">Inputs!A2</f>
        <v>meta</v>
      </c>
      <c r="B8" s="14" t="n">
        <f aca="false">IF(Inputs!B2="","",Inputs!B2)</f>
        <v>11250</v>
      </c>
      <c r="C8" s="14" t="n">
        <f aca="false">IF(Inputs!D2="","",Inputs!D2)</f>
        <v>10804.33</v>
      </c>
      <c r="D8" s="14" t="n">
        <f aca="false">SUMIFS(Inputs!$E$2:$E$4,Inputs!$A$2:$A$4,$A8)</f>
        <v>11547.01</v>
      </c>
      <c r="E8" s="14" t="n">
        <f aca="false">SUMIFS(Inputs!$F$2:$F$4,Inputs!$A$2:$A$4,$A8)</f>
        <v>1700</v>
      </c>
      <c r="F8" s="15" t="n">
        <f aca="false">IF(C8="","",IF(R8=TRUE(),0,ROUND(MAX(C8-D8,0),2)))</f>
        <v>0</v>
      </c>
      <c r="G8" s="15" t="n">
        <f aca="false">IF(R8=TRUE(),D8,IF(C8="",IF(D8&gt;0,D8,""),ROUND(MAX(C8,D8),2)))</f>
        <v>11547.01</v>
      </c>
      <c r="H8" s="15" t="n">
        <f aca="false">IF(G8&lt;&gt;"",ROUND(G8+E8,2),IF(D8+E8&gt;0,ROUND(D8+E8,2),""))</f>
        <v>13247.01</v>
      </c>
      <c r="I8" s="15" t="n">
        <f aca="false">IF(OR(B8="",G8=""),"",ROUND(G8-B8,2))</f>
        <v>297.01</v>
      </c>
      <c r="J8" s="16" t="n">
        <f aca="false">IF(I8="","",IF(B8=0,"",I8/B8))</f>
        <v>0.0264008888888889</v>
      </c>
      <c r="K8" s="15" t="n">
        <f aca="false">IF(I8="","",ROUND(B8-G8,2))</f>
        <v>-297.01</v>
      </c>
      <c r="L8" s="15" t="n">
        <f aca="false">IF(OR(C8="",D8=0),"",ROUND(D8-C8,2))</f>
        <v>742.68</v>
      </c>
      <c r="M8" s="16" t="n">
        <f aca="false">IF(L8="","",IF(C8=0,"",L8/C8))</f>
        <v>0.0687391073763945</v>
      </c>
      <c r="N8" s="5" t="str">
        <f aca="false">IF($A8="unallocated","unallocated_cost",IF(C8="","no_cost_source",IF(D8=0,"unbilled",IF(ABS(D8-C8)&lt;=ABS(C8)*$B$3/100,"within_tolerance","exception"))))</f>
        <v>exception</v>
      </c>
      <c r="O8" s="12" t="str">
        <f aca="false">Inputs!M2</f>
        <v>source_gap</v>
      </c>
      <c r="P8" s="15" t="n">
        <f aca="false">IF(I8="","",ABS(I8))</f>
        <v>297.01</v>
      </c>
      <c r="Q8" s="15" t="n">
        <f aca="false">IF(I8="","",B8)</f>
        <v>11250</v>
      </c>
      <c r="R8" s="17" t="b">
        <f aca="false">Inputs!N2</f>
        <v>1</v>
      </c>
    </row>
    <row r="9" customFormat="false" ht="15" hidden="false" customHeight="false" outlineLevel="0" collapsed="false">
      <c r="A9" s="12" t="str">
        <f aca="false">Inputs!A3</f>
        <v>google</v>
      </c>
      <c r="B9" s="14" t="n">
        <f aca="false">IF(Inputs!B3="","",Inputs!B3)</f>
        <v>8500</v>
      </c>
      <c r="C9" s="14" t="n">
        <f aca="false">IF(Inputs!D3="","",Inputs!D3)</f>
        <v>8608.79</v>
      </c>
      <c r="D9" s="14" t="n">
        <f aca="false">SUMIFS(Inputs!$E$2:$E$4,Inputs!$A$2:$A$4,$A9)</f>
        <v>8637.19</v>
      </c>
      <c r="E9" s="14" t="n">
        <f aca="false">SUMIFS(Inputs!$F$2:$F$4,Inputs!$A$2:$A$4,$A9)</f>
        <v>1133.33</v>
      </c>
      <c r="F9" s="15" t="n">
        <f aca="false">IF(C9="","",IF(R9=TRUE(),0,ROUND(MAX(C9-D9,0),2)))</f>
        <v>0</v>
      </c>
      <c r="G9" s="15" t="n">
        <f aca="false">IF(R9=TRUE(),D9,IF(C9="",IF(D9&gt;0,D9,""),ROUND(MAX(C9,D9),2)))</f>
        <v>8637.19</v>
      </c>
      <c r="H9" s="15" t="n">
        <f aca="false">IF(G9&lt;&gt;"",ROUND(G9+E9,2),IF(D9+E9&gt;0,ROUND(D9+E9,2),""))</f>
        <v>9770.52</v>
      </c>
      <c r="I9" s="15" t="n">
        <f aca="false">IF(OR(B9="",G9=""),"",ROUND(G9-B9,2))</f>
        <v>137.19</v>
      </c>
      <c r="J9" s="16" t="n">
        <f aca="false">IF(I9="","",IF(B9=0,"",I9/B9))</f>
        <v>0.01614</v>
      </c>
      <c r="K9" s="15" t="n">
        <f aca="false">IF(I9="","",ROUND(B9-G9,2))</f>
        <v>-137.19</v>
      </c>
      <c r="L9" s="15" t="n">
        <f aca="false">IF(OR(C9="",D9=0),"",ROUND(D9-C9,2))</f>
        <v>28.4</v>
      </c>
      <c r="M9" s="16" t="n">
        <f aca="false">IF(L9="","",IF(C9=0,"",L9/C9))</f>
        <v>0.00329895374378978</v>
      </c>
      <c r="N9" s="5" t="str">
        <f aca="false">IF($A9="unallocated","unallocated_cost",IF(C9="","no_cost_source",IF(D9=0,"unbilled",IF(ABS(D9-C9)&lt;=ABS(C9)*$B$3/100,"within_tolerance","exception"))))</f>
        <v>within_tolerance</v>
      </c>
      <c r="O9" s="12" t="str">
        <f aca="false">Inputs!M3</f>
        <v>complete</v>
      </c>
      <c r="P9" s="15" t="n">
        <f aca="false">IF(I9="","",ABS(I9))</f>
        <v>137.19</v>
      </c>
      <c r="Q9" s="15" t="n">
        <f aca="false">IF(I9="","",B9)</f>
        <v>8500</v>
      </c>
      <c r="R9" s="17" t="b">
        <f aca="false">Inputs!N3</f>
        <v>1</v>
      </c>
    </row>
    <row r="10" customFormat="false" ht="15" hidden="false" customHeight="false" outlineLevel="0" collapsed="false">
      <c r="A10" s="12" t="str">
        <f aca="false">Inputs!A4</f>
        <v>tiktok</v>
      </c>
      <c r="B10" s="14" t="n">
        <f aca="false">IF(Inputs!B4="","",Inputs!B4)</f>
        <v>1500</v>
      </c>
      <c r="C10" s="14" t="str">
        <f aca="false">IF(Inputs!D4="","",Inputs!D4)</f>
        <v/>
      </c>
      <c r="D10" s="14" t="n">
        <f aca="false">SUMIFS(Inputs!$E$2:$E$4,Inputs!$A$2:$A$4,$A10)</f>
        <v>0</v>
      </c>
      <c r="E10" s="14" t="n">
        <f aca="false">SUMIFS(Inputs!$F$2:$F$4,Inputs!$A$2:$A$4,$A10)</f>
        <v>0</v>
      </c>
      <c r="F10" s="15" t="str">
        <f aca="false">IF(C10="","",IF(R10=TRUE(),0,ROUND(MAX(C10-D10,0),2)))</f>
        <v/>
      </c>
      <c r="G10" s="15" t="str">
        <f aca="false">IF(R10=TRUE(),D10,IF(C10="",IF(D10&gt;0,D10,""),ROUND(MAX(C10,D10),2)))</f>
        <v/>
      </c>
      <c r="H10" s="15" t="str">
        <f aca="false">IF(G10&lt;&gt;"",ROUND(G10+E10,2),IF(D10+E10&gt;0,ROUND(D10+E10,2),""))</f>
        <v/>
      </c>
      <c r="I10" s="15" t="str">
        <f aca="false">IF(OR(B10="",G10=""),"",ROUND(G10-B10,2))</f>
        <v/>
      </c>
      <c r="J10" s="16" t="str">
        <f aca="false">IF(I10="","",IF(B10=0,"",I10/B10))</f>
        <v/>
      </c>
      <c r="K10" s="15" t="str">
        <f aca="false">IF(I10="","",ROUND(B10-G10,2))</f>
        <v/>
      </c>
      <c r="L10" s="15" t="str">
        <f aca="false">IF(OR(C10="",D10=0),"",ROUND(D10-C10,2))</f>
        <v/>
      </c>
      <c r="M10" s="16" t="str">
        <f aca="false">IF(L10="","",IF(C10=0,"",L10/C10))</f>
        <v/>
      </c>
      <c r="N10" s="5" t="str">
        <f aca="false">IF($A10="unallocated","unallocated_cost",IF(C10="","no_cost_source",IF(D10=0,"unbilled",IF(ABS(D10-C10)&lt;=ABS(C10)*$B$3/100,"within_tolerance","exception"))))</f>
        <v>no_cost_source</v>
      </c>
      <c r="O10" s="12" t="str">
        <f aca="false">Inputs!M4</f>
        <v>no_cost_source</v>
      </c>
      <c r="P10" s="15" t="str">
        <f aca="false">IF(I10="","",ABS(I10))</f>
        <v/>
      </c>
      <c r="Q10" s="15" t="str">
        <f aca="false">IF(I10="","",B10)</f>
        <v/>
      </c>
      <c r="R10" s="17" t="b">
        <f aca="false">Inputs!N4</f>
        <v>0</v>
      </c>
    </row>
    <row r="11" customFormat="false" ht="15" hidden="false" customHeight="false" outlineLevel="0" collapsed="false">
      <c r="A11" s="4" t="s">
        <v>84</v>
      </c>
      <c r="B11" s="18" t="n">
        <f aca="false">SUM(B8:B10)</f>
        <v>21250</v>
      </c>
      <c r="C11" s="18" t="n">
        <f aca="false">SUM(C8:C10)</f>
        <v>19413.12</v>
      </c>
      <c r="D11" s="18" t="n">
        <f aca="false">SUM(D8:D10)</f>
        <v>20184.2</v>
      </c>
      <c r="E11" s="18" t="n">
        <f aca="false">SUM(E8:E10)</f>
        <v>2833.33</v>
      </c>
      <c r="F11" s="18" t="n">
        <f aca="false">SUM(F8:F10)</f>
        <v>0</v>
      </c>
      <c r="G11" s="18" t="n">
        <f aca="false">SUM(G8:G10)</f>
        <v>20184.2</v>
      </c>
      <c r="H11" s="18" t="n">
        <f aca="false">SUM(H8:H10)</f>
        <v>23017.53</v>
      </c>
      <c r="I11" s="18" t="n">
        <f aca="false">SUM(I8:I10)</f>
        <v>434.2</v>
      </c>
      <c r="J11" s="19" t="n">
        <f aca="false">IF(Q11=0,"",I11/Q11)</f>
        <v>0.0219848101265823</v>
      </c>
      <c r="K11" s="18" t="n">
        <f aca="false">SUM(K8:K10)</f>
        <v>-434.2</v>
      </c>
      <c r="L11" s="18" t="n">
        <f aca="false">SUM(L8:L10)</f>
        <v>771.08</v>
      </c>
      <c r="M11" s="2"/>
      <c r="N11" s="2"/>
      <c r="O11" s="2"/>
      <c r="P11" s="2"/>
      <c r="Q11" s="18" t="n">
        <f aca="false">SUM(Q8:Q10)</f>
        <v>19750</v>
      </c>
      <c r="R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15" hidden="false" customHeight="false" outlineLevel="0" collapsed="false">
      <c r="A13" s="10" t="s">
        <v>85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6" t="s">
        <v>86</v>
      </c>
      <c r="B1" s="6" t="s">
        <v>87</v>
      </c>
    </row>
    <row r="2" customFormat="false" ht="15" hidden="false" customHeight="false" outlineLevel="0" collapsed="false">
      <c r="A2" s="5" t="s">
        <v>88</v>
      </c>
      <c r="B2" s="20" t="b">
        <f aca="false">ROUND(Month_End!B11-SUM(Inputs!B2:B4),2)=0</f>
        <v>1</v>
      </c>
    </row>
    <row r="3" customFormat="false" ht="15" hidden="false" customHeight="false" outlineLevel="0" collapsed="false">
      <c r="A3" s="5" t="s">
        <v>89</v>
      </c>
      <c r="B3" s="20" t="b">
        <f aca="false">ROUND(Month_End!C11-SUM(Inputs!D2:D4),2)=0</f>
        <v>1</v>
      </c>
    </row>
    <row r="4" customFormat="false" ht="15" hidden="false" customHeight="false" outlineLevel="0" collapsed="false">
      <c r="A4" s="5" t="s">
        <v>90</v>
      </c>
      <c r="B4" s="20" t="b">
        <f aca="false">ROUND(Month_End!D11-SUM(Inputs!E2:E4),2)=0</f>
        <v>1</v>
      </c>
    </row>
    <row r="5" customFormat="false" ht="15" hidden="false" customHeight="false" outlineLevel="0" collapsed="false">
      <c r="A5" s="5" t="s">
        <v>91</v>
      </c>
      <c r="B5" s="20" t="b">
        <f aca="false">ROUND(Month_End!E11-SUM(Inputs!F2:F4),2)=0</f>
        <v>1</v>
      </c>
    </row>
    <row r="6" customFormat="false" ht="15" hidden="false" customHeight="false" outlineLevel="0" collapsed="false">
      <c r="A6" s="5" t="s">
        <v>92</v>
      </c>
      <c r="B6" s="20" t="b">
        <f aca="false">IF(AND(Month_End!F8="",Inputs!G2=""),TRUE(),IF(OR(Month_End!F8="",Inputs!G2=""),FALSE(),ROUND(Month_End!F8-Inputs!G2,2)=0))</f>
        <v>1</v>
      </c>
    </row>
    <row r="7" customFormat="false" ht="15" hidden="false" customHeight="false" outlineLevel="0" collapsed="false">
      <c r="A7" s="5" t="s">
        <v>93</v>
      </c>
      <c r="B7" s="20" t="b">
        <f aca="false">IF(AND(Month_End!G8="",Inputs!H2=""),TRUE(),IF(OR(Month_End!G8="",Inputs!H2=""),FALSE(),ROUND(Month_End!G8-Inputs!H2,2)=0))</f>
        <v>1</v>
      </c>
    </row>
    <row r="8" customFormat="false" ht="15" hidden="false" customHeight="false" outlineLevel="0" collapsed="false">
      <c r="A8" s="5" t="s">
        <v>94</v>
      </c>
      <c r="B8" s="20" t="b">
        <f aca="false">IF(AND(Month_End!H8="",Inputs!I2=""),TRUE(),IF(OR(Month_End!H8="",Inputs!I2=""),FALSE(),ROUND(Month_End!H8-Inputs!I2,2)=0))</f>
        <v>1</v>
      </c>
    </row>
    <row r="9" customFormat="false" ht="15" hidden="false" customHeight="false" outlineLevel="0" collapsed="false">
      <c r="A9" s="5" t="s">
        <v>95</v>
      </c>
      <c r="B9" s="20" t="b">
        <f aca="false">IF(AND(Month_End!I8="",Inputs!J2=""),TRUE(),IF(OR(Month_End!I8="",Inputs!J2=""),FALSE(),ROUND(Month_End!I8-Inputs!J2,2)=0))</f>
        <v>1</v>
      </c>
    </row>
    <row r="10" customFormat="false" ht="15" hidden="false" customHeight="false" outlineLevel="0" collapsed="false">
      <c r="A10" s="5" t="s">
        <v>96</v>
      </c>
      <c r="B10" s="20" t="b">
        <f aca="false">IF(AND(Month_End!L8="",Inputs!K2=""),TRUE(),IF(OR(Month_End!L8="",Inputs!K2=""),FALSE(),ROUND(Month_End!L8-Inputs!K2,2)=0))</f>
        <v>1</v>
      </c>
    </row>
    <row r="11" customFormat="false" ht="15" hidden="false" customHeight="false" outlineLevel="0" collapsed="false">
      <c r="A11" s="5" t="s">
        <v>97</v>
      </c>
      <c r="B11" s="20" t="b">
        <f aca="false">Month_End!N8=Inputs!L2</f>
        <v>1</v>
      </c>
    </row>
    <row r="12" customFormat="false" ht="15" hidden="false" customHeight="false" outlineLevel="0" collapsed="false">
      <c r="A12" s="5" t="s">
        <v>98</v>
      </c>
      <c r="B12" s="20" t="b">
        <f aca="false">IF(AND(Month_End!F9="",Inputs!G3=""),TRUE(),IF(OR(Month_End!F9="",Inputs!G3=""),FALSE(),ROUND(Month_End!F9-Inputs!G3,2)=0))</f>
        <v>1</v>
      </c>
    </row>
    <row r="13" customFormat="false" ht="15" hidden="false" customHeight="false" outlineLevel="0" collapsed="false">
      <c r="A13" s="5" t="s">
        <v>99</v>
      </c>
      <c r="B13" s="20" t="b">
        <f aca="false">IF(AND(Month_End!G9="",Inputs!H3=""),TRUE(),IF(OR(Month_End!G9="",Inputs!H3=""),FALSE(),ROUND(Month_End!G9-Inputs!H3,2)=0))</f>
        <v>1</v>
      </c>
    </row>
    <row r="14" customFormat="false" ht="15" hidden="false" customHeight="false" outlineLevel="0" collapsed="false">
      <c r="A14" s="5" t="s">
        <v>100</v>
      </c>
      <c r="B14" s="20" t="b">
        <f aca="false">IF(AND(Month_End!H9="",Inputs!I3=""),TRUE(),IF(OR(Month_End!H9="",Inputs!I3=""),FALSE(),ROUND(Month_End!H9-Inputs!I3,2)=0))</f>
        <v>1</v>
      </c>
    </row>
    <row r="15" customFormat="false" ht="15" hidden="false" customHeight="false" outlineLevel="0" collapsed="false">
      <c r="A15" s="5" t="s">
        <v>101</v>
      </c>
      <c r="B15" s="20" t="b">
        <f aca="false">IF(AND(Month_End!I9="",Inputs!J3=""),TRUE(),IF(OR(Month_End!I9="",Inputs!J3=""),FALSE(),ROUND(Month_End!I9-Inputs!J3,2)=0))</f>
        <v>1</v>
      </c>
    </row>
    <row r="16" customFormat="false" ht="15" hidden="false" customHeight="false" outlineLevel="0" collapsed="false">
      <c r="A16" s="5" t="s">
        <v>102</v>
      </c>
      <c r="B16" s="20" t="b">
        <f aca="false">IF(AND(Month_End!L9="",Inputs!K3=""),TRUE(),IF(OR(Month_End!L9="",Inputs!K3=""),FALSE(),ROUND(Month_End!L9-Inputs!K3,2)=0))</f>
        <v>1</v>
      </c>
    </row>
    <row r="17" customFormat="false" ht="15" hidden="false" customHeight="false" outlineLevel="0" collapsed="false">
      <c r="A17" s="5" t="s">
        <v>103</v>
      </c>
      <c r="B17" s="20" t="b">
        <f aca="false">Month_End!N9=Inputs!L3</f>
        <v>1</v>
      </c>
    </row>
    <row r="18" customFormat="false" ht="15" hidden="false" customHeight="false" outlineLevel="0" collapsed="false">
      <c r="A18" s="5" t="s">
        <v>104</v>
      </c>
      <c r="B18" s="20" t="b">
        <f aca="false">IF(AND(Month_End!F10="",Inputs!G4=""),TRUE(),IF(OR(Month_End!F10="",Inputs!G4=""),FALSE(),ROUND(Month_End!F10-Inputs!G4,2)=0))</f>
        <v>1</v>
      </c>
    </row>
    <row r="19" customFormat="false" ht="15" hidden="false" customHeight="false" outlineLevel="0" collapsed="false">
      <c r="A19" s="5" t="s">
        <v>105</v>
      </c>
      <c r="B19" s="20" t="b">
        <f aca="false">IF(AND(Month_End!G10="",Inputs!H4=""),TRUE(),IF(OR(Month_End!G10="",Inputs!H4=""),FALSE(),ROUND(Month_End!G10-Inputs!H4,2)=0))</f>
        <v>1</v>
      </c>
    </row>
    <row r="20" customFormat="false" ht="15" hidden="false" customHeight="false" outlineLevel="0" collapsed="false">
      <c r="A20" s="5" t="s">
        <v>106</v>
      </c>
      <c r="B20" s="20" t="b">
        <f aca="false">IF(AND(Month_End!H10="",Inputs!I4=""),TRUE(),IF(OR(Month_End!H10="",Inputs!I4=""),FALSE(),ROUND(Month_End!H10-Inputs!I4,2)=0))</f>
        <v>1</v>
      </c>
    </row>
    <row r="21" customFormat="false" ht="15" hidden="false" customHeight="false" outlineLevel="0" collapsed="false">
      <c r="A21" s="5" t="s">
        <v>107</v>
      </c>
      <c r="B21" s="20" t="b">
        <f aca="false">IF(AND(Month_End!I10="",Inputs!J4=""),TRUE(),IF(OR(Month_End!I10="",Inputs!J4=""),FALSE(),ROUND(Month_End!I10-Inputs!J4,2)=0))</f>
        <v>1</v>
      </c>
    </row>
    <row r="22" customFormat="false" ht="15" hidden="false" customHeight="false" outlineLevel="0" collapsed="false">
      <c r="A22" s="5" t="s">
        <v>108</v>
      </c>
      <c r="B22" s="20" t="b">
        <f aca="false">IF(AND(Month_End!L10="",Inputs!K4=""),TRUE(),IF(OR(Month_End!L10="",Inputs!K4=""),FALSE(),ROUND(Month_End!L10-Inputs!K4,2)=0))</f>
        <v>1</v>
      </c>
    </row>
    <row r="23" customFormat="false" ht="15" hidden="false" customHeight="false" outlineLevel="0" collapsed="false">
      <c r="A23" s="5" t="s">
        <v>109</v>
      </c>
      <c r="B23" s="20" t="b">
        <f aca="false">Month_End!N10=Inputs!L4</f>
        <v>1</v>
      </c>
    </row>
    <row r="24" customFormat="false" ht="15" hidden="false" customHeight="false" outlineLevel="0" collapsed="false">
      <c r="A24" s="2"/>
      <c r="B24" s="2"/>
    </row>
    <row r="25" customFormat="false" ht="15" hidden="false" customHeight="false" outlineLevel="0" collapsed="false">
      <c r="A25" s="4" t="s">
        <v>110</v>
      </c>
      <c r="B25" s="21" t="b">
        <f aca="false">AND(B2:B23)</f>
        <v>1</v>
      </c>
    </row>
    <row r="26" customFormat="false" ht="15" hidden="false" customHeight="false" outlineLevel="0" collapsed="false">
      <c r="A26" s="10" t="s">
        <v>111</v>
      </c>
      <c r="B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2" t="str">
        <f aca="false">"These figures use SYNTHETIC Finance inputs (invented budgets and invoices) and are for demonstration only."</f>
        <v>These figures use SYNTHETIC Finance inputs (invented budgets and invoices) and are for demonstration only.</v>
      </c>
    </row>
    <row r="4" customFormat="false" ht="15" hidden="false" customHeight="false" outlineLevel="0" collapsed="false">
      <c r="A4" s="22" t="str">
        <f aca="false">IF(COUNT(Month_End!$P$8:$P$10)=0,"No channel has both a media budget and known spend this month.","The largest budget variance in "&amp;Month_End!$B$4&amp;" is "&amp;SUBSTITUTE(PROPER(INDEX(Month_End!$A$8:$A$10,MATCH(MAX(Month_End!$P$8:$P$10),Month_End!$P$8:$P$10,0))),"Tiktok","TikTok")&amp;" at £"&amp;TEXT(ABS(INDEX(Month_End!$I$8:$I$10,MATCH(MAX(Month_End!$P$8:$P$10),Month_End!$P$8:$P$10,0))),"#,##0")&amp;" ("&amp;TEXT(ABS(INDEX(Month_End!$J$8:$J$10,MATCH(MAX(Month_End!$P$8:$P$10),Month_End!$P$8:$P$10,0))),"0.0%")&amp;"), "&amp;IF(INDEX(Month_End!$I$8:$I$10,MATCH(MAX(Month_End!$P$8:$P$10),Month_End!$P$8:$P$10,0))&gt;0,"an overspend","an underspend")&amp;" against its media budget.")</f>
        <v>The largest budget variance in 2025-03 is Meta at £297 (2.6%), an overspend against its media budget.</v>
      </c>
    </row>
    <row r="5" customFormat="false" ht="15" hidden="false" customHeight="false" outlineLevel="0" collapsed="false">
      <c r="A5" s="22" t="str">
        <f aca="false">IF(COUNTIF(Month_End!$N$8:$N$10,"no_cost_source")=0,"",SUBSTITUTE(PROPER(INDEX(Month_End!$A$8:$A$10,MATCH("no_cost_source",Month_End!$N$8:$N$10,0))),"Tiktok","TikTok")&amp;" has an approved budget of £"&amp;TEXT(INDEX(Month_End!$B$8:$B$10,MATCH("no_cost_source",Month_End!$N$8:$N$10,0)),"#,##0")&amp;" but no cost source, so its spend and variance are unknown (left blank), not zero.")</f>
        <v>TikTok has an approved budget of £1,500 but no cost source, so its spend and variance are unknown (left blank), not zero.</v>
      </c>
    </row>
    <row r="6" customFormat="false" ht="26.85" hidden="false" customHeight="false" outlineLevel="0" collapsed="false">
      <c r="A6" s="22" t="str">
        <f aca="false">IF(COUNTIF(Month_End!$N$8:$N$10,"exception")&gt;0,"Main risk: the "&amp;SUBSTITUTE(PROPER(INDEX(Month_End!$A$8:$A$10,MATCH("exception",Month_End!$N$8:$N$10,0))),"Tiktok","TikTok")&amp;" invoice differs from delivered spend by "&amp;TEXT(ABS(INDEX(Month_End!$M$8:$M$10,MATCH("exception",Month_End!$N$8:$N$10,0))),"0.0%")&amp;", above the "&amp;TEXT(Month_End!$B$3,"0.0")&amp;"% tolerance."&amp;IF(INDEX(Month_End!$O$8:$O$10,MATCH("exception",Month_End!$N$8:$N$10,0))="source_gap"," The spend extract is missing days for this month, which may explain the gap.",""),IF(COUNTIF(Month_End!$N$8:$N$10,"unbilled")&gt;0,"Main risk: £"&amp;TEXT(SUM(Month_End!$F$8:$F$10),"#,##0")&amp;" of delivered media is not yet invoiced and is carried as an estimated accrual until the invoices arrive.","Main risk: none flagged. Every platform invoice is within the "&amp;TEXT(Month_End!$B$3,"0.0")&amp;"% tolerance."))</f>
        <v>Main risk: the Meta invoice differs from delivered spend by 6.9%, above the 1.0% tolerance. The spend extract is missing days for this month, which may explain the gap.</v>
      </c>
    </row>
    <row r="7" customFormat="false" ht="26.85" hidden="false" customHeight="false" outlineLevel="0" collapsed="false">
      <c r="A7" s="22" t="str">
        <f aca="false">IF(COUNTIF(Month_End!$N$8:$N$10,"exception")&gt;0,IF(INDEX(Month_End!$O$8:$O$10,MATCH("exception",Month_End!$N$8:$N$10,0))="source_gap","Recommended action: obtain the missing days of spend from the platform and re-run the reconciliation before querying the invoice.","Recommended action: query the "&amp;SUBSTITUTE(PROPER(INDEX(Month_End!$A$8:$A$10,MATCH("exception",Month_End!$N$8:$N$10,0))),"Tiktok","TikTok")&amp;" invoice with the platform before approving it for payment."),IF(COUNTIF(Month_End!$N$8:$N$10,"unbilled")&gt;0,"Recommended action: post the £"&amp;TEXT(SUM(Month_End!$F$8:$F$10),"#,##0")&amp;" accrual and replace it with the actual invoices when they arrive early next month.","Recommended action: none beyond normal review."))&amp;IF(COUNTIF(Month_End!$N$8:$N$10,"unallocated_cost")&gt;0," Also allocate the £"&amp;TEXT(SUMIFS(Month_End!$H$8:$H$10,Month_End!$N$8:$N$10,"unallocated_cost"),"#,##0")&amp;" of invoiced cost that has no channel.","")</f>
        <v>Recommended action: obtain the missing days of spend from the platform and re-run the reconciliation before querying the invoice.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2026-10-13T19:07:28Z</dcterms:created>
  <dc:creator>openpyxl</dc:creator>
  <dc:description/>
  <dc:language>en-US</dc:language>
  <cp:lastModifiedBy/>
  <dcterms:modified xsi:type="dcterms:W3CDTF">2026-10-13T19:07:28Z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